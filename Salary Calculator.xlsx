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E8DA1673-F0E5-4CD1-A455-8F25776F04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ary Calculator" sheetId="4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H25" i="4" s="1"/>
  <c r="I25" i="4" s="1"/>
  <c r="H17" i="4"/>
  <c r="I17" i="4" s="1"/>
  <c r="H16" i="4"/>
  <c r="I16" i="4" s="1"/>
  <c r="H15" i="4"/>
  <c r="I15" i="4" s="1"/>
  <c r="H6" i="4"/>
  <c r="H14" i="4" l="1"/>
  <c r="H21" i="4"/>
  <c r="H20" i="4"/>
  <c r="I6" i="4"/>
  <c r="H10" i="4"/>
  <c r="I20" i="4" l="1"/>
  <c r="I14" i="4"/>
  <c r="I9" i="4"/>
  <c r="H22" i="4"/>
  <c r="H23" i="4" s="1"/>
  <c r="I10" i="4"/>
  <c r="I22" i="4" l="1"/>
  <c r="H11" i="4"/>
  <c r="I21" i="4"/>
  <c r="I23" i="4" s="1"/>
  <c r="I11" i="4" l="1"/>
  <c r="H18" i="4"/>
  <c r="H26" i="4" l="1"/>
  <c r="I26" i="4" s="1"/>
  <c r="I18" i="4"/>
</calcChain>
</file>

<file path=xl/sharedStrings.xml><?xml version="1.0" encoding="utf-8"?>
<sst xmlns="http://schemas.openxmlformats.org/spreadsheetml/2006/main" count="37" uniqueCount="37">
  <si>
    <t>BASE  FIXED SALARY</t>
  </si>
  <si>
    <t>Components</t>
  </si>
  <si>
    <t>Structure of CTC</t>
  </si>
  <si>
    <t>Monthly Amount</t>
  </si>
  <si>
    <t>Annual Amount</t>
  </si>
  <si>
    <t>Basic Salary</t>
  </si>
  <si>
    <t>50% of ctc</t>
  </si>
  <si>
    <t>HRA : House rent allowance</t>
  </si>
  <si>
    <t>40% of B+DA</t>
  </si>
  <si>
    <t>Special Allowance</t>
  </si>
  <si>
    <t>Balance (CTC - all other components)</t>
  </si>
  <si>
    <t>Leave Travel Allowance (LTA) Reimbursement</t>
  </si>
  <si>
    <t>8.33% OF BASIC</t>
  </si>
  <si>
    <t>Vehicle (Car) Maintenance Reimbursement</t>
  </si>
  <si>
    <t>Meal Voucher</t>
  </si>
  <si>
    <t>Telephone Reimbursement</t>
  </si>
  <si>
    <t>Company Contribution to PF</t>
  </si>
  <si>
    <t>Basic*12 % or 15000*12 %</t>
  </si>
  <si>
    <t>NPS Employer Contribution</t>
  </si>
  <si>
    <t>10% of B+ DA</t>
  </si>
  <si>
    <t>Gratuity Contribution</t>
  </si>
  <si>
    <t>4.81% on B+DA</t>
  </si>
  <si>
    <t>Gross Salary</t>
  </si>
  <si>
    <t>BASE: ALLOWANCES &amp; REIMBURSEMENTS:</t>
  </si>
  <si>
    <t>Employee Contribution</t>
  </si>
  <si>
    <t>PF</t>
  </si>
  <si>
    <r>
      <rPr>
        <sz val="11"/>
        <rFont val="Aptos Display"/>
        <family val="2"/>
      </rPr>
      <t>B</t>
    </r>
    <r>
      <rPr>
        <b/>
        <sz val="11"/>
        <rFont val="Aptos Display"/>
        <family val="2"/>
      </rPr>
      <t>ASE FIXED: CASH COMPONENTS</t>
    </r>
  </si>
  <si>
    <t>MONTHLY CTC</t>
  </si>
  <si>
    <t>ANNUAL CTC</t>
  </si>
  <si>
    <t>CTC</t>
  </si>
  <si>
    <t>CTC Structure</t>
  </si>
  <si>
    <t>Net Pay (Before Tax)</t>
  </si>
  <si>
    <t>Total</t>
  </si>
  <si>
    <t>RETIRAL BENEFITS:</t>
  </si>
  <si>
    <t>Put Any CTC value here more than 25000</t>
  </si>
  <si>
    <t>WITHOUT ESIC</t>
  </si>
  <si>
    <t>SAMPLE SALARY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</si>
</sst>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8"/>
      <name val="Arial"/>
      <family val="2"/>
    </font>
    <font>
      <b/>
      <sz val="11"/>
      <name val="Aptos Display"/>
      <family val="2"/>
    </font>
    <font>
      <sz val="11"/>
      <name val="Aptos Display"/>
      <family val="2"/>
    </font>
    <font>
      <b/>
      <sz val="16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sz val="14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7">
    <xf numFmtId="0" fontId="0" fillId="0" borderId="0" xfId="0"/>
    <xf numFmtId="1" fontId="0" fillId="0" borderId="0" xfId="0" applyNumberFormat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 applyProtection="1">
      <alignment horizontal="center" wrapText="1"/>
      <protection hidden="1"/>
    </xf>
    <xf numFmtId="0" fontId="2" fillId="2" borderId="1" xfId="0" applyFont="1" applyFill="1" applyBorder="1" applyAlignment="1" applyProtection="1">
      <alignment horizontal="center" wrapText="1"/>
      <protection hidden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 applyProtection="1">
      <alignment horizontal="left"/>
      <protection hidden="1"/>
    </xf>
    <xf numFmtId="0" fontId="3" fillId="2" borderId="1" xfId="0" applyFont="1" applyFill="1" applyBorder="1" applyAlignment="1" applyProtection="1">
      <alignment horizontal="right" wrapText="1"/>
      <protection hidden="1"/>
    </xf>
    <xf numFmtId="0" fontId="3" fillId="2" borderId="1" xfId="0" applyFont="1" applyFill="1" applyBorder="1" applyAlignment="1" applyProtection="1">
      <alignment horizontal="left" wrapText="1"/>
      <protection hidden="1"/>
    </xf>
    <xf numFmtId="1" fontId="3" fillId="2" borderId="1" xfId="0" applyNumberFormat="1" applyFont="1" applyFill="1" applyBorder="1" applyAlignment="1" applyProtection="1">
      <alignment horizontal="right" wrapText="1"/>
      <protection hidden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 applyProtection="1">
      <alignment horizontal="left"/>
      <protection hidden="1"/>
    </xf>
    <xf numFmtId="0" fontId="2" fillId="2" borderId="1" xfId="0" applyFont="1" applyFill="1" applyBorder="1" applyAlignment="1" applyProtection="1">
      <alignment horizontal="right" wrapText="1"/>
      <protection hidden="1"/>
    </xf>
    <xf numFmtId="0" fontId="3" fillId="2" borderId="3" xfId="0" applyFont="1" applyFill="1" applyBorder="1" applyAlignment="1">
      <alignment wrapText="1"/>
    </xf>
    <xf numFmtId="1" fontId="3" fillId="2" borderId="4" xfId="0" applyNumberFormat="1" applyFont="1" applyFill="1" applyBorder="1" applyAlignment="1" applyProtection="1">
      <alignment horizontal="right" wrapText="1"/>
      <protection hidden="1"/>
    </xf>
    <xf numFmtId="0" fontId="3" fillId="2" borderId="5" xfId="0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1" fontId="2" fillId="2" borderId="1" xfId="0" applyNumberFormat="1" applyFont="1" applyFill="1" applyBorder="1" applyAlignment="1" applyProtection="1">
      <alignment horizontal="right" wrapText="1"/>
      <protection hidden="1"/>
    </xf>
    <xf numFmtId="0" fontId="2" fillId="2" borderId="4" xfId="0" applyFont="1" applyFill="1" applyBorder="1" applyAlignment="1" applyProtection="1">
      <alignment horizontal="left" wrapText="1"/>
      <protection hidden="1"/>
    </xf>
    <xf numFmtId="0" fontId="3" fillId="5" borderId="0" xfId="0" applyFont="1" applyFill="1"/>
    <xf numFmtId="0" fontId="2" fillId="5" borderId="6" xfId="0" applyFont="1" applyFill="1" applyBorder="1" applyAlignment="1">
      <alignment horizontal="left"/>
    </xf>
    <xf numFmtId="1" fontId="3" fillId="5" borderId="6" xfId="0" applyNumberFormat="1" applyFont="1" applyFill="1" applyBorder="1" applyAlignment="1">
      <alignment horizontal="right"/>
    </xf>
    <xf numFmtId="0" fontId="2" fillId="6" borderId="0" xfId="0" applyFont="1" applyFill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right"/>
    </xf>
    <xf numFmtId="0" fontId="1" fillId="7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8" borderId="1" xfId="0" applyFont="1" applyFill="1" applyBorder="1"/>
    <xf numFmtId="0" fontId="6" fillId="8" borderId="1" xfId="0" applyFont="1" applyFill="1" applyBorder="1"/>
    <xf numFmtId="0" fontId="4" fillId="8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5" fillId="7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A066-D21F-48EB-A374-7EC40E805702}">
  <dimension ref="F2:P27"/>
  <sheetViews>
    <sheetView tabSelected="1" topLeftCell="E1" zoomScale="90" zoomScaleNormal="90" workbookViewId="0">
      <selection activeCell="F4" sqref="F4:I4"/>
    </sheetView>
  </sheetViews>
  <sheetFormatPr defaultRowHeight="12.5" x14ac:dyDescent="0.25"/>
  <cols>
    <col min="6" max="6" width="38.36328125" bestFit="1" customWidth="1"/>
    <col min="7" max="7" width="18" bestFit="1" customWidth="1"/>
    <col min="8" max="8" width="12" customWidth="1"/>
    <col min="9" max="9" width="11.7265625" customWidth="1"/>
    <col min="12" max="12" width="4.54296875" customWidth="1"/>
    <col min="13" max="13" width="12.6328125" customWidth="1"/>
    <col min="14" max="14" width="20.26953125" customWidth="1"/>
  </cols>
  <sheetData>
    <row r="2" spans="6:16" x14ac:dyDescent="0.25">
      <c r="F2" s="33" t="s">
        <v>36</v>
      </c>
      <c r="G2" s="33"/>
      <c r="H2" s="33"/>
      <c r="I2" s="33"/>
    </row>
    <row r="3" spans="6:16" ht="16.5" customHeight="1" x14ac:dyDescent="0.25">
      <c r="F3" s="33"/>
      <c r="G3" s="33"/>
      <c r="H3" s="33"/>
      <c r="I3" s="33"/>
    </row>
    <row r="4" spans="6:16" ht="26" customHeight="1" x14ac:dyDescent="0.5">
      <c r="F4" s="46" t="s">
        <v>35</v>
      </c>
      <c r="G4" s="46"/>
      <c r="H4" s="46"/>
      <c r="I4" s="46"/>
      <c r="K4" s="38" t="s">
        <v>34</v>
      </c>
      <c r="L4" s="38"/>
      <c r="M4" s="38"/>
      <c r="N4" s="38"/>
      <c r="O4" s="38"/>
      <c r="P4" s="38"/>
    </row>
    <row r="5" spans="6:16" ht="30" x14ac:dyDescent="0.45">
      <c r="F5" s="39" t="s">
        <v>30</v>
      </c>
      <c r="G5" s="39"/>
      <c r="H5" s="5" t="s">
        <v>27</v>
      </c>
      <c r="I5" s="5" t="s">
        <v>28</v>
      </c>
      <c r="M5" s="36" t="s">
        <v>29</v>
      </c>
      <c r="N5" s="37">
        <v>25000</v>
      </c>
    </row>
    <row r="6" spans="6:16" ht="14.5" x14ac:dyDescent="0.35">
      <c r="F6" s="34" t="s">
        <v>0</v>
      </c>
      <c r="G6" s="35"/>
      <c r="H6" s="5">
        <f>N5</f>
        <v>25000</v>
      </c>
      <c r="I6" s="6">
        <f>H6*12</f>
        <v>300000</v>
      </c>
    </row>
    <row r="7" spans="6:16" ht="29" x14ac:dyDescent="0.35">
      <c r="F7" s="2" t="s">
        <v>1</v>
      </c>
      <c r="G7" s="3" t="s">
        <v>2</v>
      </c>
      <c r="H7" s="7" t="s">
        <v>3</v>
      </c>
      <c r="I7" s="7" t="s">
        <v>4</v>
      </c>
    </row>
    <row r="8" spans="6:16" ht="14.5" x14ac:dyDescent="0.35">
      <c r="F8" s="4" t="s">
        <v>26</v>
      </c>
      <c r="G8" s="4"/>
      <c r="H8" s="8"/>
      <c r="I8" s="8"/>
    </row>
    <row r="9" spans="6:16" ht="14.5" x14ac:dyDescent="0.35">
      <c r="F9" s="9" t="s">
        <v>5</v>
      </c>
      <c r="G9" s="10" t="s">
        <v>6</v>
      </c>
      <c r="H9" s="11">
        <f>N5*50%</f>
        <v>12500</v>
      </c>
      <c r="I9" s="11">
        <f>H9*12</f>
        <v>150000</v>
      </c>
    </row>
    <row r="10" spans="6:16" ht="14.5" x14ac:dyDescent="0.35">
      <c r="F10" s="9" t="s">
        <v>7</v>
      </c>
      <c r="G10" s="10" t="s">
        <v>8</v>
      </c>
      <c r="H10" s="11">
        <f>H9*40%</f>
        <v>5000</v>
      </c>
      <c r="I10" s="11">
        <f>H10*12</f>
        <v>60000</v>
      </c>
      <c r="L10" s="1"/>
    </row>
    <row r="11" spans="6:16" ht="29" x14ac:dyDescent="0.35">
      <c r="F11" s="9" t="s">
        <v>9</v>
      </c>
      <c r="G11" s="12" t="s">
        <v>10</v>
      </c>
      <c r="H11" s="13">
        <f>N5-SUM(H9:H10,H14:H17,H20:H22)</f>
        <v>4148.75</v>
      </c>
      <c r="I11" s="11">
        <f>H11*12</f>
        <v>49785</v>
      </c>
      <c r="M11" s="1"/>
    </row>
    <row r="12" spans="6:16" ht="14.5" x14ac:dyDescent="0.35">
      <c r="F12" s="14"/>
      <c r="G12" s="15"/>
      <c r="H12" s="14"/>
      <c r="I12" s="14"/>
    </row>
    <row r="13" spans="6:16" ht="29" x14ac:dyDescent="0.35">
      <c r="F13" s="16" t="s">
        <v>23</v>
      </c>
      <c r="G13" s="17"/>
      <c r="H13" s="18"/>
      <c r="I13" s="18"/>
    </row>
    <row r="14" spans="6:16" ht="29" x14ac:dyDescent="0.35">
      <c r="F14" s="9" t="s">
        <v>11</v>
      </c>
      <c r="G14" s="10" t="s">
        <v>12</v>
      </c>
      <c r="H14" s="13">
        <f>IF(N5&gt;=50000,H9*8.33%,0)</f>
        <v>0</v>
      </c>
      <c r="I14" s="13">
        <f>H14*12</f>
        <v>0</v>
      </c>
      <c r="N14" s="1"/>
    </row>
    <row r="15" spans="6:16" ht="14.5" x14ac:dyDescent="0.35">
      <c r="F15" s="9" t="s">
        <v>13</v>
      </c>
      <c r="G15" s="10">
        <v>2400</v>
      </c>
      <c r="H15" s="11">
        <f>IF(N5&gt;=50000,G15,0)</f>
        <v>0</v>
      </c>
      <c r="I15" s="13">
        <f>H15*12</f>
        <v>0</v>
      </c>
    </row>
    <row r="16" spans="6:16" ht="14.5" x14ac:dyDescent="0.35">
      <c r="F16" s="19" t="s">
        <v>14</v>
      </c>
      <c r="G16" s="10">
        <v>2200</v>
      </c>
      <c r="H16" s="11">
        <f>IF(N5&gt;=50000,G16,0)</f>
        <v>0</v>
      </c>
      <c r="I16" s="20">
        <f>H16*12</f>
        <v>0</v>
      </c>
    </row>
    <row r="17" spans="6:9" ht="14.5" x14ac:dyDescent="0.35">
      <c r="F17" s="19" t="s">
        <v>15</v>
      </c>
      <c r="G17" s="10">
        <v>2000</v>
      </c>
      <c r="H17" s="11">
        <f>IF(N5&gt;=50000,G17,0)</f>
        <v>0</v>
      </c>
      <c r="I17" s="20">
        <f>H17*12</f>
        <v>0</v>
      </c>
    </row>
    <row r="18" spans="6:9" ht="14.5" x14ac:dyDescent="0.35">
      <c r="F18" s="44" t="s">
        <v>22</v>
      </c>
      <c r="G18" s="21"/>
      <c r="H18" s="22">
        <f>SUM(H9:H11,H14:H17)</f>
        <v>21648.75</v>
      </c>
      <c r="I18" s="23">
        <f>H18*12</f>
        <v>259785</v>
      </c>
    </row>
    <row r="19" spans="6:9" ht="14.5" x14ac:dyDescent="0.35">
      <c r="F19" s="45" t="s">
        <v>33</v>
      </c>
      <c r="G19" s="17"/>
      <c r="H19" s="18"/>
      <c r="I19" s="18"/>
    </row>
    <row r="20" spans="6:9" ht="29" x14ac:dyDescent="0.35">
      <c r="F20" s="9" t="s">
        <v>16</v>
      </c>
      <c r="G20" s="12" t="s">
        <v>17</v>
      </c>
      <c r="H20" s="11">
        <f>IF(N5&gt;=30000,15000*12%,H9*12%)</f>
        <v>1500</v>
      </c>
      <c r="I20" s="11">
        <f>H20*12</f>
        <v>18000</v>
      </c>
    </row>
    <row r="21" spans="6:9" ht="14.5" x14ac:dyDescent="0.35">
      <c r="F21" s="9" t="s">
        <v>18</v>
      </c>
      <c r="G21" s="10" t="s">
        <v>19</v>
      </c>
      <c r="H21" s="11">
        <f>H9*10%</f>
        <v>1250</v>
      </c>
      <c r="I21" s="11">
        <f>H21*12</f>
        <v>15000</v>
      </c>
    </row>
    <row r="22" spans="6:9" ht="14.5" x14ac:dyDescent="0.35">
      <c r="F22" s="9" t="s">
        <v>20</v>
      </c>
      <c r="G22" s="10" t="s">
        <v>21</v>
      </c>
      <c r="H22" s="13">
        <f>H9*4.81%</f>
        <v>601.25</v>
      </c>
      <c r="I22" s="11">
        <f>H22*12</f>
        <v>7215</v>
      </c>
    </row>
    <row r="23" spans="6:9" ht="14.5" x14ac:dyDescent="0.35">
      <c r="F23" s="43" t="s">
        <v>32</v>
      </c>
      <c r="G23" s="4"/>
      <c r="H23" s="9">
        <f>SUM(H20:H22)</f>
        <v>3351.25</v>
      </c>
      <c r="I23" s="9">
        <f>SUM(I20:I22)</f>
        <v>40215</v>
      </c>
    </row>
    <row r="24" spans="6:9" ht="14.5" x14ac:dyDescent="0.35">
      <c r="F24" s="40" t="s">
        <v>24</v>
      </c>
      <c r="G24" s="41"/>
      <c r="H24" s="41"/>
      <c r="I24" s="42"/>
    </row>
    <row r="25" spans="6:9" ht="14.5" x14ac:dyDescent="0.35">
      <c r="F25" s="24" t="s">
        <v>25</v>
      </c>
      <c r="G25" s="26"/>
      <c r="H25" s="25">
        <f>IF(N5&gt;=30000,15000*12%,H9*12%)</f>
        <v>1500</v>
      </c>
      <c r="I25" s="18">
        <f>H25*12</f>
        <v>18000</v>
      </c>
    </row>
    <row r="26" spans="6:9" ht="14.5" x14ac:dyDescent="0.35">
      <c r="F26" s="28" t="s">
        <v>31</v>
      </c>
      <c r="G26" s="27"/>
      <c r="H26" s="29">
        <f>H18-H25</f>
        <v>20148.75</v>
      </c>
      <c r="I26" s="27">
        <f>H26*12</f>
        <v>241785</v>
      </c>
    </row>
    <row r="27" spans="6:9" ht="14.5" x14ac:dyDescent="0.35">
      <c r="F27" s="30"/>
      <c r="G27" s="31"/>
      <c r="H27" s="32"/>
      <c r="I27" s="31"/>
    </row>
  </sheetData>
  <mergeCells count="6">
    <mergeCell ref="F24:I24"/>
    <mergeCell ref="F4:I4"/>
    <mergeCell ref="F2:I3"/>
    <mergeCell ref="F5:G5"/>
    <mergeCell ref="F6:G6"/>
    <mergeCell ref="K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Vinay Kumar</cp:lastModifiedBy>
  <dcterms:created xsi:type="dcterms:W3CDTF">2021-07-11T05:05:49Z</dcterms:created>
  <dcterms:modified xsi:type="dcterms:W3CDTF">2026-10-03T20:26:07Z</dcterms:modified>
</cp:coreProperties>
</file>